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iuliamalisani/Desktop/HumNatRates/data/local_humhl/"/>
    </mc:Choice>
  </mc:AlternateContent>
  <xr:revisionPtr revIDLastSave="0" documentId="13_ncr:1_{B20D20EB-2749-294C-A3E5-2DDBA8259665}" xr6:coauthVersionLast="47" xr6:coauthVersionMax="47" xr10:uidLastSave="{00000000-0000-0000-0000-000000000000}"/>
  <bookViews>
    <workbookView xWindow="0" yWindow="0" windowWidth="28800" windowHeight="18000" xr2:uid="{B046B3BD-416B-7549-BDE6-1479111EDD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7" i="1" l="1"/>
  <c r="C16" i="1"/>
  <c r="C14" i="1"/>
  <c r="C13" i="1"/>
  <c r="C11" i="1"/>
  <c r="E11" i="1" s="1"/>
  <c r="E14" i="1"/>
  <c r="E13" i="1"/>
  <c r="H11" i="1"/>
  <c r="E12" i="1"/>
  <c r="E15" i="1"/>
  <c r="E16" i="1"/>
  <c r="E17" i="1"/>
  <c r="H28" i="1"/>
  <c r="H29" i="1"/>
  <c r="H30" i="1"/>
  <c r="H34" i="1"/>
  <c r="H35" i="1"/>
  <c r="H36" i="1"/>
  <c r="H37" i="1"/>
  <c r="H38" i="1"/>
  <c r="H39" i="1"/>
  <c r="H40" i="1"/>
  <c r="H43" i="1"/>
  <c r="H44" i="1"/>
  <c r="H12" i="1"/>
  <c r="H13" i="1"/>
  <c r="H14" i="1"/>
  <c r="H15" i="1"/>
  <c r="H16" i="1"/>
  <c r="H17" i="1"/>
  <c r="H27" i="1"/>
  <c r="G42" i="1" l="1"/>
  <c r="H42" i="1" s="1"/>
  <c r="G41" i="1"/>
  <c r="H41" i="1" s="1"/>
  <c r="G33" i="1" l="1"/>
  <c r="H33" i="1" s="1"/>
  <c r="G32" i="1"/>
  <c r="H32" i="1" s="1"/>
  <c r="G31" i="1"/>
  <c r="H31" i="1" s="1"/>
  <c r="G26" i="1" l="1"/>
  <c r="H26" i="1" s="1"/>
  <c r="G25" i="1"/>
  <c r="H25" i="1" s="1"/>
  <c r="G24" i="1"/>
  <c r="H24" i="1" s="1"/>
  <c r="G23" i="1"/>
  <c r="H23" i="1" s="1"/>
  <c r="G22" i="1"/>
  <c r="H22" i="1" s="1"/>
  <c r="G21" i="1"/>
  <c r="H21" i="1" s="1"/>
  <c r="G20" i="1"/>
  <c r="H20" i="1" s="1"/>
  <c r="G19" i="1"/>
  <c r="H19" i="1" s="1"/>
  <c r="G18" i="1"/>
  <c r="H18" i="1" s="1"/>
  <c r="G10" i="1" l="1"/>
  <c r="H10" i="1" s="1"/>
  <c r="G9" i="1"/>
  <c r="H9" i="1" s="1"/>
  <c r="G8" i="1"/>
  <c r="H8" i="1" s="1"/>
  <c r="G7" i="1"/>
  <c r="H7" i="1" s="1"/>
  <c r="G6" i="1"/>
  <c r="H6" i="1" s="1"/>
  <c r="G5" i="1"/>
  <c r="H5" i="1" s="1"/>
  <c r="G4" i="1"/>
  <c r="H4" i="1" s="1"/>
  <c r="G3" i="1"/>
  <c r="H3" i="1" s="1"/>
  <c r="G2" i="1"/>
  <c r="H2" i="1" s="1"/>
  <c r="E32" i="1" l="1"/>
  <c r="I32" i="1" s="1"/>
  <c r="E33" i="1"/>
  <c r="I33" i="1" s="1"/>
  <c r="E34" i="1"/>
  <c r="I34" i="1" s="1"/>
  <c r="E35" i="1"/>
  <c r="I35" i="1" s="1"/>
  <c r="E36" i="1"/>
  <c r="I36" i="1" s="1"/>
  <c r="E37" i="1"/>
  <c r="I37" i="1" s="1"/>
  <c r="E38" i="1"/>
  <c r="I38" i="1" s="1"/>
  <c r="E39" i="1"/>
  <c r="I39" i="1" s="1"/>
  <c r="E40" i="1"/>
  <c r="I40" i="1" s="1"/>
  <c r="E41" i="1"/>
  <c r="I41" i="1" s="1"/>
  <c r="E42" i="1"/>
  <c r="I42" i="1" s="1"/>
  <c r="E43" i="1"/>
  <c r="I43" i="1" s="1"/>
  <c r="E44" i="1"/>
  <c r="I44" i="1" s="1"/>
  <c r="E18" i="1"/>
  <c r="I18" i="1" s="1"/>
  <c r="E19" i="1"/>
  <c r="I19" i="1" s="1"/>
  <c r="E20" i="1"/>
  <c r="I20" i="1" s="1"/>
  <c r="E21" i="1"/>
  <c r="I21" i="1" s="1"/>
  <c r="E22" i="1"/>
  <c r="I22" i="1" s="1"/>
  <c r="E23" i="1"/>
  <c r="I23" i="1" s="1"/>
  <c r="E24" i="1"/>
  <c r="I24" i="1" s="1"/>
  <c r="E25" i="1"/>
  <c r="I25" i="1" s="1"/>
  <c r="E26" i="1"/>
  <c r="I26" i="1" s="1"/>
  <c r="E27" i="1"/>
  <c r="I27" i="1" s="1"/>
  <c r="E28" i="1"/>
  <c r="I28" i="1" s="1"/>
  <c r="E29" i="1"/>
  <c r="I29" i="1" s="1"/>
  <c r="E30" i="1"/>
  <c r="I30" i="1" s="1"/>
  <c r="E31" i="1"/>
  <c r="I31" i="1" s="1"/>
  <c r="I12" i="1" l="1"/>
  <c r="I13" i="1"/>
  <c r="I14" i="1"/>
  <c r="I15" i="1"/>
  <c r="I16" i="1"/>
  <c r="I17" i="1"/>
  <c r="I11" i="1"/>
  <c r="E3" i="1" l="1"/>
  <c r="I3" i="1" s="1"/>
  <c r="E4" i="1"/>
  <c r="I4" i="1" s="1"/>
  <c r="E5" i="1"/>
  <c r="I5" i="1" s="1"/>
  <c r="E6" i="1"/>
  <c r="I6" i="1" s="1"/>
  <c r="E7" i="1"/>
  <c r="I7" i="1" s="1"/>
  <c r="E8" i="1"/>
  <c r="I8" i="1" s="1"/>
  <c r="E9" i="1"/>
  <c r="I9" i="1" s="1"/>
  <c r="E10" i="1"/>
  <c r="I10" i="1" s="1"/>
  <c r="E2" i="1"/>
  <c r="I2" i="1" s="1"/>
</calcChain>
</file>

<file path=xl/sharedStrings.xml><?xml version="1.0" encoding="utf-8"?>
<sst xmlns="http://schemas.openxmlformats.org/spreadsheetml/2006/main" count="95" uniqueCount="59">
  <si>
    <t>archipelago</t>
  </si>
  <si>
    <t>island</t>
  </si>
  <si>
    <t>Corvo</t>
  </si>
  <si>
    <t>Faial</t>
  </si>
  <si>
    <t>Flores</t>
  </si>
  <si>
    <t>Graciosa</t>
  </si>
  <si>
    <t>Pico</t>
  </si>
  <si>
    <t>São Jorge</t>
  </si>
  <si>
    <t>Santa Maria</t>
  </si>
  <si>
    <t>São Miguel</t>
  </si>
  <si>
    <t>Terceira</t>
  </si>
  <si>
    <t>Azores</t>
  </si>
  <si>
    <t>El Hierro</t>
  </si>
  <si>
    <t>Fuerteventura</t>
  </si>
  <si>
    <t>Gran Canaria</t>
  </si>
  <si>
    <t>La Gomera</t>
  </si>
  <si>
    <t>La Palma</t>
  </si>
  <si>
    <t>Lanzarote</t>
  </si>
  <si>
    <t>Tenerife</t>
  </si>
  <si>
    <t>Boa Vista</t>
  </si>
  <si>
    <t>Fogo</t>
  </si>
  <si>
    <t>Ilha Brava</t>
  </si>
  <si>
    <t>Ilha do Maio</t>
  </si>
  <si>
    <t>Sal</t>
  </si>
  <si>
    <t>Santiago</t>
  </si>
  <si>
    <t>Santo Antão</t>
  </si>
  <si>
    <t>São Nicolau</t>
  </si>
  <si>
    <t>São Vicente</t>
  </si>
  <si>
    <t>Floreana</t>
  </si>
  <si>
    <t>Isabela</t>
  </si>
  <si>
    <t>San Cristóbal</t>
  </si>
  <si>
    <t>Santa Cruz</t>
  </si>
  <si>
    <t>Isla de Annobón</t>
  </si>
  <si>
    <t>Principe</t>
  </si>
  <si>
    <t>São Tome</t>
  </si>
  <si>
    <t>Kauai</t>
  </si>
  <si>
    <t>Lanai</t>
  </si>
  <si>
    <t>Maui</t>
  </si>
  <si>
    <t>Molokai</t>
  </si>
  <si>
    <t>Niihau</t>
  </si>
  <si>
    <t>Oahu</t>
  </si>
  <si>
    <t>Madeira</t>
  </si>
  <si>
    <t>Porto Santo</t>
  </si>
  <si>
    <t>La Réunion</t>
  </si>
  <si>
    <t>Mauritius</t>
  </si>
  <si>
    <t>year_dataset</t>
  </si>
  <si>
    <t>year_since_arrival</t>
  </si>
  <si>
    <t>arrival_year</t>
  </si>
  <si>
    <t>Canary Islands</t>
  </si>
  <si>
    <t>Hawaii</t>
  </si>
  <si>
    <t>Galápagos Islands</t>
  </si>
  <si>
    <t>Hawaiian Islands</t>
  </si>
  <si>
    <t>Mascarene Islands</t>
  </si>
  <si>
    <t>total_area</t>
  </si>
  <si>
    <t>local_humHL</t>
  </si>
  <si>
    <t>native_area_present</t>
  </si>
  <si>
    <t>local_humHLr</t>
  </si>
  <si>
    <t>Cabo Verde</t>
  </si>
  <si>
    <t>Gulf of Guinea Islands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</si>
</sst>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1" fillId="0" borderId="0" xfId="0" applyFont="1"/>
    <xf numFmtId="2" fontId="0" fillId="0" borderId="0" xfId="0" applyNumberFormat="1"/>
    <xf numFmtId="2" fontId="3" fillId="0" borderId="0" xfId="0" applyNumberFormat="1" applyFont="1"/>
    <xf numFmtId="2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9931A-3BCA-6C4E-9936-FA0BD86DC990}">
  <dimension ref="A1:I44"/>
  <sheetViews>
    <sheetView tabSelected="1" workbookViewId="0">
      <selection activeCell="H11" sqref="H11"/>
    </sheetView>
  </sheetViews>
  <sheetFormatPr baseColWidth="10" defaultRowHeight="16" x14ac:dyDescent="0.2"/>
  <cols>
    <col min="1" max="1" width="23.6640625" customWidth="1"/>
    <col min="2" max="2" width="19.33203125" customWidth="1"/>
    <col min="3" max="3" width="23.1640625" customWidth="1"/>
    <col min="4" max="4" width="13.6640625" customWidth="1"/>
    <col min="5" max="7" width="25.33203125" customWidth="1"/>
    <col min="8" max="8" width="17.6640625" style="4" customWidth="1"/>
    <col min="9" max="9" width="18.6640625" style="4" customWidth="1"/>
  </cols>
  <sheetData>
    <row r="1" spans="1:9" s="3" customFormat="1" x14ac:dyDescent="0.2">
      <c r="A1" s="1" t="s">
        <v>1</v>
      </c>
      <c r="B1" s="1" t="s">
        <v>0</v>
      </c>
      <c r="C1" s="1" t="s">
        <v>47</v>
      </c>
      <c r="D1" s="1" t="s">
        <v>45</v>
      </c>
      <c r="E1" s="1" t="s">
        <v>46</v>
      </c>
      <c r="F1" s="6" t="s">
        <v>53</v>
      </c>
      <c r="G1" s="6" t="s">
        <v>55</v>
      </c>
      <c r="H1" s="6" t="s">
        <v>54</v>
      </c>
      <c r="I1" s="6" t="s">
        <v>56</v>
      </c>
    </row>
    <row r="2" spans="1:9" x14ac:dyDescent="0.2">
      <c r="A2" s="2" t="s">
        <v>2</v>
      </c>
      <c r="B2" s="2" t="s">
        <v>11</v>
      </c>
      <c r="C2" s="2">
        <v>1482</v>
      </c>
      <c r="D2" s="2">
        <v>2007</v>
      </c>
      <c r="E2" s="2">
        <f>D2-C2</f>
        <v>525</v>
      </c>
      <c r="F2" s="5">
        <v>17.37523192584716</v>
      </c>
      <c r="G2" s="5">
        <f>F2*0.513</f>
        <v>8.9134939779595932</v>
      </c>
      <c r="H2" s="5">
        <f>F2-G2</f>
        <v>8.4617379478875669</v>
      </c>
      <c r="I2" s="5">
        <f>H2/E2</f>
        <v>1.6117596091214412E-2</v>
      </c>
    </row>
    <row r="3" spans="1:9" x14ac:dyDescent="0.2">
      <c r="A3" s="2" t="s">
        <v>3</v>
      </c>
      <c r="B3" s="2" t="s">
        <v>11</v>
      </c>
      <c r="C3" s="2">
        <v>1466</v>
      </c>
      <c r="D3" s="2">
        <v>2007</v>
      </c>
      <c r="E3" s="2">
        <f>D3-C3</f>
        <v>541</v>
      </c>
      <c r="F3" s="5">
        <v>171.77813791701811</v>
      </c>
      <c r="G3" s="5">
        <f>F3*0.094</f>
        <v>16.147144964199704</v>
      </c>
      <c r="H3" s="5">
        <f>F3-G3</f>
        <v>155.63099295281842</v>
      </c>
      <c r="I3" s="5">
        <f>H3/E3</f>
        <v>0.28767281506990466</v>
      </c>
    </row>
    <row r="4" spans="1:9" x14ac:dyDescent="0.2">
      <c r="A4" s="2" t="s">
        <v>4</v>
      </c>
      <c r="B4" s="2" t="s">
        <v>11</v>
      </c>
      <c r="C4" s="2">
        <v>1480</v>
      </c>
      <c r="D4" s="2">
        <v>2007</v>
      </c>
      <c r="E4" s="2">
        <f>D4-C4</f>
        <v>527</v>
      </c>
      <c r="F4" s="5">
        <v>140.84851992759931</v>
      </c>
      <c r="G4" s="5">
        <f>F4*0.329</f>
        <v>46.339163056180176</v>
      </c>
      <c r="H4" s="5">
        <f>F4-G4</f>
        <v>94.509356871419129</v>
      </c>
      <c r="I4" s="5">
        <f>H4/E4</f>
        <v>0.17933464301977065</v>
      </c>
    </row>
    <row r="5" spans="1:9" x14ac:dyDescent="0.2">
      <c r="A5" s="2" t="s">
        <v>5</v>
      </c>
      <c r="B5" s="2" t="s">
        <v>11</v>
      </c>
      <c r="C5" s="2">
        <v>1510</v>
      </c>
      <c r="D5" s="2">
        <v>2007</v>
      </c>
      <c r="E5" s="2">
        <f>D5-C5</f>
        <v>497</v>
      </c>
      <c r="F5" s="5">
        <v>60.406151106786197</v>
      </c>
      <c r="G5" s="5">
        <f>F5*0.004</f>
        <v>0.24162460442714478</v>
      </c>
      <c r="H5" s="5">
        <f>F5-G5</f>
        <v>60.164526502359053</v>
      </c>
      <c r="I5" s="5">
        <f>H5/E5</f>
        <v>0.12105538531661782</v>
      </c>
    </row>
    <row r="6" spans="1:9" x14ac:dyDescent="0.2">
      <c r="A6" s="2" t="s">
        <v>6</v>
      </c>
      <c r="B6" s="2" t="s">
        <v>11</v>
      </c>
      <c r="C6" s="2">
        <v>1482</v>
      </c>
      <c r="D6" s="2">
        <v>2007</v>
      </c>
      <c r="E6" s="2">
        <f>D6-C6</f>
        <v>525</v>
      </c>
      <c r="F6" s="5">
        <v>442.58079447146878</v>
      </c>
      <c r="G6" s="5">
        <f>F6*0.137</f>
        <v>60.633568842591224</v>
      </c>
      <c r="H6" s="5">
        <f>F6-G6</f>
        <v>381.94722562887756</v>
      </c>
      <c r="I6" s="5">
        <f>H6/E6</f>
        <v>0.72751852500738579</v>
      </c>
    </row>
    <row r="7" spans="1:9" x14ac:dyDescent="0.2">
      <c r="A7" s="2" t="s">
        <v>8</v>
      </c>
      <c r="B7" s="2" t="s">
        <v>11</v>
      </c>
      <c r="C7" s="2">
        <v>1432</v>
      </c>
      <c r="D7" s="2">
        <v>2007</v>
      </c>
      <c r="E7" s="2">
        <f>D7-C7</f>
        <v>575</v>
      </c>
      <c r="F7" s="5">
        <v>97.816168463632408</v>
      </c>
      <c r="G7" s="5">
        <f>F7*0.147</f>
        <v>14.378976764153963</v>
      </c>
      <c r="H7" s="5">
        <f>F7-G7</f>
        <v>83.437191699478447</v>
      </c>
      <c r="I7" s="5">
        <f>H7/E7</f>
        <v>0.14510815947735381</v>
      </c>
    </row>
    <row r="8" spans="1:9" x14ac:dyDescent="0.2">
      <c r="A8" s="2" t="s">
        <v>7</v>
      </c>
      <c r="B8" s="2" t="s">
        <v>11</v>
      </c>
      <c r="C8" s="2">
        <v>1460</v>
      </c>
      <c r="D8" s="2">
        <v>2007</v>
      </c>
      <c r="E8" s="2">
        <f>D8-C8</f>
        <v>547</v>
      </c>
      <c r="F8" s="5">
        <v>244.3314574242155</v>
      </c>
      <c r="G8" s="5">
        <f>F8*0.078</f>
        <v>19.057853679088808</v>
      </c>
      <c r="H8" s="5">
        <f>F8-G8</f>
        <v>225.27360374512671</v>
      </c>
      <c r="I8" s="5">
        <f>H8/E8</f>
        <v>0.41183474176439983</v>
      </c>
    </row>
    <row r="9" spans="1:9" x14ac:dyDescent="0.2">
      <c r="A9" s="2" t="s">
        <v>9</v>
      </c>
      <c r="B9" s="2" t="s">
        <v>11</v>
      </c>
      <c r="C9" s="2">
        <v>1449</v>
      </c>
      <c r="D9" s="2">
        <v>2007</v>
      </c>
      <c r="E9" s="2">
        <f>D9-C9</f>
        <v>558</v>
      </c>
      <c r="F9" s="5">
        <v>744.78278447460093</v>
      </c>
      <c r="G9" s="5">
        <f>F9*0.087</f>
        <v>64.796102249290271</v>
      </c>
      <c r="H9" s="5">
        <f>F9-G9</f>
        <v>679.98668222531069</v>
      </c>
      <c r="I9" s="5">
        <f>H9/E9</f>
        <v>1.2186141258518113</v>
      </c>
    </row>
    <row r="10" spans="1:9" x14ac:dyDescent="0.2">
      <c r="A10" s="2" t="s">
        <v>10</v>
      </c>
      <c r="B10" s="2" t="s">
        <v>11</v>
      </c>
      <c r="C10" s="2">
        <v>1460</v>
      </c>
      <c r="D10" s="2">
        <v>2007</v>
      </c>
      <c r="E10" s="2">
        <f>D10-C10</f>
        <v>547</v>
      </c>
      <c r="F10" s="5">
        <v>399.7107157093572</v>
      </c>
      <c r="G10" s="5">
        <f>F10*0.142</f>
        <v>56.758921630728715</v>
      </c>
      <c r="H10" s="5">
        <f>F10-G10</f>
        <v>342.9517940786285</v>
      </c>
      <c r="I10" s="5">
        <f>H10/E10</f>
        <v>0.62696854493350729</v>
      </c>
    </row>
    <row r="11" spans="1:9" x14ac:dyDescent="0.2">
      <c r="A11" s="2" t="s">
        <v>12</v>
      </c>
      <c r="B11" s="2" t="s">
        <v>48</v>
      </c>
      <c r="C11" s="2">
        <f>MEDIAN(170,330)</f>
        <v>250</v>
      </c>
      <c r="D11" s="2">
        <v>2010</v>
      </c>
      <c r="E11" s="2">
        <f>D11-C11</f>
        <v>1760</v>
      </c>
      <c r="F11" s="5">
        <v>272.80095749140207</v>
      </c>
      <c r="G11">
        <v>147.34</v>
      </c>
      <c r="H11" s="5">
        <f>F11-G11</f>
        <v>125.46095749140207</v>
      </c>
      <c r="I11" s="5">
        <f>H11/E11</f>
        <v>7.1284634938296634E-2</v>
      </c>
    </row>
    <row r="12" spans="1:9" x14ac:dyDescent="0.2">
      <c r="A12" s="2" t="s">
        <v>13</v>
      </c>
      <c r="B12" s="2" t="s">
        <v>48</v>
      </c>
      <c r="C12" s="2">
        <v>397</v>
      </c>
      <c r="D12" s="2">
        <v>2010</v>
      </c>
      <c r="E12" s="2">
        <f>D12-C12</f>
        <v>1613</v>
      </c>
      <c r="F12" s="5">
        <v>1671.276807306079</v>
      </c>
      <c r="G12">
        <v>224.25</v>
      </c>
      <c r="H12" s="5">
        <f>F12-G12</f>
        <v>1447.026807306079</v>
      </c>
      <c r="I12" s="5">
        <f>H12/E12</f>
        <v>0.89710279436210727</v>
      </c>
    </row>
    <row r="13" spans="1:9" x14ac:dyDescent="0.2">
      <c r="A13" s="2" t="s">
        <v>14</v>
      </c>
      <c r="B13" s="2" t="s">
        <v>48</v>
      </c>
      <c r="C13" s="2">
        <f>MEDIAN(490,530)</f>
        <v>510</v>
      </c>
      <c r="D13" s="2">
        <v>2010</v>
      </c>
      <c r="E13" s="2">
        <f>D13-C13</f>
        <v>1500</v>
      </c>
      <c r="F13" s="5">
        <v>1566.1454751983781</v>
      </c>
      <c r="G13">
        <v>735.36</v>
      </c>
      <c r="H13" s="5">
        <f>F13-G13</f>
        <v>830.78547519837809</v>
      </c>
      <c r="I13" s="5">
        <f>H13/E13</f>
        <v>0.55385698346558543</v>
      </c>
    </row>
    <row r="14" spans="1:9" x14ac:dyDescent="0.2">
      <c r="A14" s="2" t="s">
        <v>15</v>
      </c>
      <c r="B14" s="2" t="s">
        <v>48</v>
      </c>
      <c r="C14" s="2">
        <f>MEDIAN(275,405)</f>
        <v>340</v>
      </c>
      <c r="D14" s="2">
        <v>2010</v>
      </c>
      <c r="E14" s="2">
        <f>D14-C14</f>
        <v>1670</v>
      </c>
      <c r="F14" s="5">
        <v>368.0439905210842</v>
      </c>
      <c r="G14">
        <v>264.60000000000002</v>
      </c>
      <c r="H14" s="5">
        <f>F14-G14</f>
        <v>103.44399052108417</v>
      </c>
      <c r="I14" s="5">
        <f>H14/E14</f>
        <v>6.1942509294062378E-2</v>
      </c>
    </row>
    <row r="15" spans="1:9" x14ac:dyDescent="0.2">
      <c r="A15" s="2" t="s">
        <v>16</v>
      </c>
      <c r="B15" s="2" t="s">
        <v>48</v>
      </c>
      <c r="C15" s="2">
        <v>337</v>
      </c>
      <c r="D15" s="2">
        <v>2010</v>
      </c>
      <c r="E15" s="2">
        <f>D15-C15</f>
        <v>1673</v>
      </c>
      <c r="F15" s="5">
        <v>707.78315684524011</v>
      </c>
      <c r="G15">
        <v>503.01</v>
      </c>
      <c r="H15" s="5">
        <f>F15-G15</f>
        <v>204.77315684524012</v>
      </c>
      <c r="I15" s="5">
        <f>H15/E15</f>
        <v>0.12239877874790205</v>
      </c>
    </row>
    <row r="16" spans="1:9" x14ac:dyDescent="0.2">
      <c r="A16" s="2" t="s">
        <v>17</v>
      </c>
      <c r="B16" s="2" t="s">
        <v>48</v>
      </c>
      <c r="C16" s="2">
        <f>MEDIAN(70,240)</f>
        <v>155</v>
      </c>
      <c r="D16" s="2">
        <v>2010</v>
      </c>
      <c r="E16" s="2">
        <f>D16-C16</f>
        <v>1855</v>
      </c>
      <c r="F16" s="5">
        <v>817.89184921799426</v>
      </c>
      <c r="G16">
        <v>286.56</v>
      </c>
      <c r="H16" s="5">
        <f>F16-G16</f>
        <v>531.3318492179942</v>
      </c>
      <c r="I16" s="5">
        <f>H16/E16</f>
        <v>0.28643226372937691</v>
      </c>
    </row>
    <row r="17" spans="1:9" x14ac:dyDescent="0.2">
      <c r="A17" s="2" t="s">
        <v>18</v>
      </c>
      <c r="B17" s="2" t="s">
        <v>48</v>
      </c>
      <c r="C17" s="2">
        <f>MEDIAN(155,485)</f>
        <v>320</v>
      </c>
      <c r="D17" s="2">
        <v>2010</v>
      </c>
      <c r="E17" s="2">
        <f>D17-C17</f>
        <v>1690</v>
      </c>
      <c r="F17" s="5">
        <v>2047.1692596965031</v>
      </c>
      <c r="G17">
        <v>1131.9000000000001</v>
      </c>
      <c r="H17" s="5">
        <f>F17-G17</f>
        <v>915.26925969650301</v>
      </c>
      <c r="I17" s="5">
        <f>H17/E17</f>
        <v>0.54157944360739818</v>
      </c>
    </row>
    <row r="18" spans="1:9" x14ac:dyDescent="0.2">
      <c r="A18" s="2" t="s">
        <v>19</v>
      </c>
      <c r="B18" s="2" t="s">
        <v>57</v>
      </c>
      <c r="C18" s="2">
        <v>1567</v>
      </c>
      <c r="D18" s="2">
        <v>1999</v>
      </c>
      <c r="E18" s="2">
        <f>D18-C18</f>
        <v>432</v>
      </c>
      <c r="F18" s="5">
        <v>642.27494835112725</v>
      </c>
      <c r="G18" s="5">
        <f>F18*0.175</f>
        <v>112.39811596144726</v>
      </c>
      <c r="H18" s="5">
        <f>F18-G18</f>
        <v>529.87683238967998</v>
      </c>
      <c r="I18" s="5">
        <f>H18/E18</f>
        <v>1.2265667416427777</v>
      </c>
    </row>
    <row r="19" spans="1:9" x14ac:dyDescent="0.2">
      <c r="A19" s="2" t="s">
        <v>20</v>
      </c>
      <c r="B19" s="2" t="s">
        <v>57</v>
      </c>
      <c r="C19" s="2">
        <v>1580</v>
      </c>
      <c r="D19" s="2">
        <v>1999</v>
      </c>
      <c r="E19" s="2">
        <f>D19-C19</f>
        <v>419</v>
      </c>
      <c r="F19" s="5">
        <v>470.42170228761057</v>
      </c>
      <c r="G19" s="5">
        <f>F19*0.42</f>
        <v>197.57711496079642</v>
      </c>
      <c r="H19" s="5">
        <f>F19-G19</f>
        <v>272.84458732681412</v>
      </c>
      <c r="I19" s="5">
        <f>H19/E19</f>
        <v>0.65118039934800509</v>
      </c>
    </row>
    <row r="20" spans="1:9" x14ac:dyDescent="0.2">
      <c r="A20" s="2" t="s">
        <v>21</v>
      </c>
      <c r="B20" s="2" t="s">
        <v>57</v>
      </c>
      <c r="C20" s="2">
        <v>1580</v>
      </c>
      <c r="D20" s="2">
        <v>1999</v>
      </c>
      <c r="E20" s="2">
        <f>D20-C20</f>
        <v>419</v>
      </c>
      <c r="F20" s="5">
        <v>64.914081639120482</v>
      </c>
      <c r="G20" s="5">
        <f>F20*0.484</f>
        <v>31.418415513334313</v>
      </c>
      <c r="H20" s="5">
        <f>F20-G20</f>
        <v>33.495666125786173</v>
      </c>
      <c r="I20" s="5">
        <f>H20/E20</f>
        <v>7.9941923927890624E-2</v>
      </c>
    </row>
    <row r="21" spans="1:9" x14ac:dyDescent="0.2">
      <c r="A21" s="2" t="s">
        <v>22</v>
      </c>
      <c r="B21" s="2" t="s">
        <v>57</v>
      </c>
      <c r="C21" s="2">
        <v>1462</v>
      </c>
      <c r="D21" s="2">
        <v>1999</v>
      </c>
      <c r="E21" s="2">
        <f>D21-C21</f>
        <v>537</v>
      </c>
      <c r="F21" s="5">
        <v>273.05168717444428</v>
      </c>
      <c r="G21" s="5">
        <f>F21*0.329</f>
        <v>89.834005080392174</v>
      </c>
      <c r="H21" s="5">
        <f>F21-G21</f>
        <v>183.21768209405212</v>
      </c>
      <c r="I21" s="5">
        <f>H21/E21</f>
        <v>0.34118748993305797</v>
      </c>
    </row>
    <row r="22" spans="1:9" x14ac:dyDescent="0.2">
      <c r="A22" s="2" t="s">
        <v>23</v>
      </c>
      <c r="B22" s="2" t="s">
        <v>57</v>
      </c>
      <c r="C22" s="2">
        <v>1650</v>
      </c>
      <c r="D22" s="2">
        <v>1999</v>
      </c>
      <c r="E22" s="2">
        <f>D22-C22</f>
        <v>349</v>
      </c>
      <c r="F22" s="5">
        <v>224.01072015386359</v>
      </c>
      <c r="G22" s="5">
        <f>F22*0.037</f>
        <v>8.2883966456929521</v>
      </c>
      <c r="H22" s="5">
        <f>F22-G22</f>
        <v>215.72232350817063</v>
      </c>
      <c r="I22" s="5">
        <f>H22/E22</f>
        <v>0.61811554013802472</v>
      </c>
    </row>
    <row r="23" spans="1:9" x14ac:dyDescent="0.2">
      <c r="A23" s="2" t="s">
        <v>24</v>
      </c>
      <c r="B23" s="2" t="s">
        <v>57</v>
      </c>
      <c r="C23" s="2">
        <v>1462</v>
      </c>
      <c r="D23" s="2">
        <v>1999</v>
      </c>
      <c r="E23" s="2">
        <f>D23-C23</f>
        <v>537</v>
      </c>
      <c r="F23" s="5">
        <v>1007.154022861689</v>
      </c>
      <c r="G23" s="5">
        <f>F23*0.444</f>
        <v>447.17638615058991</v>
      </c>
      <c r="H23" s="5">
        <f>F23-G23</f>
        <v>559.97763671109908</v>
      </c>
      <c r="I23" s="5">
        <f>H23/E23</f>
        <v>1.0427888951789555</v>
      </c>
    </row>
    <row r="24" spans="1:9" x14ac:dyDescent="0.2">
      <c r="A24" s="2" t="s">
        <v>25</v>
      </c>
      <c r="B24" s="2" t="s">
        <v>57</v>
      </c>
      <c r="C24" s="2">
        <v>1580</v>
      </c>
      <c r="D24" s="2">
        <v>1999</v>
      </c>
      <c r="E24" s="2">
        <f>D24-C24</f>
        <v>419</v>
      </c>
      <c r="F24" s="5">
        <v>792.54793565259968</v>
      </c>
      <c r="G24" s="5">
        <f>F24*0.462</f>
        <v>366.15714627150106</v>
      </c>
      <c r="H24" s="5">
        <f>F24-G24</f>
        <v>426.39078938109861</v>
      </c>
      <c r="I24" s="5">
        <f>H24/E24</f>
        <v>1.0176391154680158</v>
      </c>
    </row>
    <row r="25" spans="1:9" x14ac:dyDescent="0.2">
      <c r="A25" s="2" t="s">
        <v>26</v>
      </c>
      <c r="B25" s="2" t="s">
        <v>57</v>
      </c>
      <c r="C25" s="2">
        <v>1580</v>
      </c>
      <c r="D25" s="2">
        <v>1999</v>
      </c>
      <c r="E25" s="2">
        <f>D25-C25</f>
        <v>419</v>
      </c>
      <c r="F25" s="5">
        <v>347.82583202661732</v>
      </c>
      <c r="G25" s="5">
        <f>F25*0.286</f>
        <v>99.478187959612541</v>
      </c>
      <c r="H25" s="5">
        <f>F25-G25</f>
        <v>248.34764406700478</v>
      </c>
      <c r="I25" s="5">
        <f>H25/E25</f>
        <v>0.59271514097137179</v>
      </c>
    </row>
    <row r="26" spans="1:9" x14ac:dyDescent="0.2">
      <c r="A26" s="2" t="s">
        <v>27</v>
      </c>
      <c r="B26" s="2" t="s">
        <v>57</v>
      </c>
      <c r="C26" s="2">
        <v>1623</v>
      </c>
      <c r="D26" s="2">
        <v>1999</v>
      </c>
      <c r="E26" s="2">
        <f>D26-C26</f>
        <v>376</v>
      </c>
      <c r="F26" s="5">
        <v>226.04613882758579</v>
      </c>
      <c r="G26" s="5">
        <f>F26*0.106</f>
        <v>23.960890715724094</v>
      </c>
      <c r="H26" s="5">
        <f>F26-G26</f>
        <v>202.08524811186169</v>
      </c>
      <c r="I26" s="5">
        <f>H26/E26</f>
        <v>0.53746076625495132</v>
      </c>
    </row>
    <row r="27" spans="1:9" x14ac:dyDescent="0.2">
      <c r="A27" s="2" t="s">
        <v>28</v>
      </c>
      <c r="B27" s="2" t="s">
        <v>50</v>
      </c>
      <c r="C27" s="2">
        <v>1925</v>
      </c>
      <c r="D27" s="2">
        <v>2018</v>
      </c>
      <c r="E27" s="2">
        <f>D27-C27</f>
        <v>93</v>
      </c>
      <c r="F27" s="5">
        <v>174.45579681260699</v>
      </c>
      <c r="G27" s="5">
        <v>168.53100000000003</v>
      </c>
      <c r="H27" s="5">
        <f>F27-G27</f>
        <v>5.9247968126069566</v>
      </c>
      <c r="I27" s="5">
        <f>H27/E27</f>
        <v>6.3707492608676947E-2</v>
      </c>
    </row>
    <row r="28" spans="1:9" x14ac:dyDescent="0.2">
      <c r="A28" s="2" t="s">
        <v>29</v>
      </c>
      <c r="B28" s="2" t="s">
        <v>50</v>
      </c>
      <c r="C28" s="2">
        <v>1897</v>
      </c>
      <c r="D28" s="2">
        <v>2018</v>
      </c>
      <c r="E28" s="2">
        <f>D28-C28</f>
        <v>121</v>
      </c>
      <c r="F28" s="5">
        <v>4737.2205126872605</v>
      </c>
      <c r="G28" s="5">
        <v>2037.7250000000001</v>
      </c>
      <c r="H28" s="5">
        <f>F28-G28</f>
        <v>2699.4955126872601</v>
      </c>
      <c r="I28" s="5">
        <f>H28/E28</f>
        <v>22.309880270142646</v>
      </c>
    </row>
    <row r="29" spans="1:9" x14ac:dyDescent="0.2">
      <c r="A29" s="2" t="s">
        <v>30</v>
      </c>
      <c r="B29" s="2" t="s">
        <v>50</v>
      </c>
      <c r="C29" s="2">
        <v>1835</v>
      </c>
      <c r="D29" s="2">
        <v>2018</v>
      </c>
      <c r="E29" s="2">
        <f>D29-C29</f>
        <v>183</v>
      </c>
      <c r="F29" s="5">
        <v>561.73876890649035</v>
      </c>
      <c r="G29" s="5">
        <v>515.64499999999998</v>
      </c>
      <c r="H29" s="5">
        <f>F29-G29</f>
        <v>46.093768906490368</v>
      </c>
      <c r="I29" s="5">
        <f>H29/E29</f>
        <v>0.25187851861470145</v>
      </c>
    </row>
    <row r="30" spans="1:9" x14ac:dyDescent="0.2">
      <c r="A30" s="2" t="s">
        <v>31</v>
      </c>
      <c r="B30" s="2" t="s">
        <v>50</v>
      </c>
      <c r="C30" s="2">
        <v>1840</v>
      </c>
      <c r="D30" s="2">
        <v>2018</v>
      </c>
      <c r="E30" s="2">
        <f>D30-C30</f>
        <v>178</v>
      </c>
      <c r="F30" s="5">
        <v>992.8805254974759</v>
      </c>
      <c r="G30" s="5">
        <v>949.08400000000017</v>
      </c>
      <c r="H30" s="5">
        <f>F30-G30</f>
        <v>43.796525497475727</v>
      </c>
      <c r="I30" s="5">
        <f>H30/E30</f>
        <v>0.24604789605323443</v>
      </c>
    </row>
    <row r="31" spans="1:9" x14ac:dyDescent="0.2">
      <c r="A31" s="2" t="s">
        <v>32</v>
      </c>
      <c r="B31" s="2" t="s">
        <v>58</v>
      </c>
      <c r="C31" s="2">
        <v>1500</v>
      </c>
      <c r="D31" s="2">
        <v>2002</v>
      </c>
      <c r="E31" s="2">
        <f>D31-C31</f>
        <v>502</v>
      </c>
      <c r="F31" s="5">
        <v>19.944751369393771</v>
      </c>
      <c r="G31" s="5">
        <f>F31*0.475</f>
        <v>9.4737569004620408</v>
      </c>
      <c r="H31" s="5">
        <f>F31-G31</f>
        <v>10.47099446893173</v>
      </c>
      <c r="I31" s="5">
        <f>H31/E31</f>
        <v>2.085855471898751E-2</v>
      </c>
    </row>
    <row r="32" spans="1:9" x14ac:dyDescent="0.2">
      <c r="A32" s="2" t="s">
        <v>33</v>
      </c>
      <c r="B32" s="2" t="s">
        <v>58</v>
      </c>
      <c r="C32" s="2">
        <v>1500</v>
      </c>
      <c r="D32" s="2">
        <v>2006</v>
      </c>
      <c r="E32" s="2">
        <f>D32-C32</f>
        <v>506</v>
      </c>
      <c r="F32" s="5">
        <v>138.27832376966401</v>
      </c>
      <c r="G32" s="5">
        <f>F32*0.611</f>
        <v>84.488055823264716</v>
      </c>
      <c r="H32" s="5">
        <f>F32-G32</f>
        <v>53.790267946399297</v>
      </c>
      <c r="I32" s="5">
        <f>H32/E32</f>
        <v>0.10630487736442548</v>
      </c>
    </row>
    <row r="33" spans="1:9" x14ac:dyDescent="0.2">
      <c r="A33" s="2" t="s">
        <v>34</v>
      </c>
      <c r="B33" s="2" t="s">
        <v>58</v>
      </c>
      <c r="C33" s="2">
        <v>1486</v>
      </c>
      <c r="D33" s="2">
        <v>2006</v>
      </c>
      <c r="E33" s="2">
        <f>D33-C33</f>
        <v>520</v>
      </c>
      <c r="F33" s="5">
        <v>853.11201027896698</v>
      </c>
      <c r="G33" s="5">
        <f>F33*0.578</f>
        <v>493.09874194124285</v>
      </c>
      <c r="H33" s="5">
        <f>F33-G33</f>
        <v>360.01326833772413</v>
      </c>
      <c r="I33" s="5">
        <f>H33/E33</f>
        <v>0.69233320834177714</v>
      </c>
    </row>
    <row r="34" spans="1:9" x14ac:dyDescent="0.2">
      <c r="A34" s="2" t="s">
        <v>49</v>
      </c>
      <c r="B34" s="2" t="s">
        <v>51</v>
      </c>
      <c r="C34" s="2">
        <v>1220</v>
      </c>
      <c r="D34" s="2">
        <v>2016</v>
      </c>
      <c r="E34" s="2">
        <f>D34-C34</f>
        <v>796</v>
      </c>
      <c r="F34" s="5">
        <v>10492.9111465818</v>
      </c>
      <c r="G34">
        <v>3986.0459999999998</v>
      </c>
      <c r="H34" s="5">
        <f>F34-G34</f>
        <v>6506.8651465818002</v>
      </c>
      <c r="I34" s="5">
        <f>H34/E34</f>
        <v>8.1744537017359296</v>
      </c>
    </row>
    <row r="35" spans="1:9" x14ac:dyDescent="0.2">
      <c r="A35" s="2" t="s">
        <v>35</v>
      </c>
      <c r="B35" s="2" t="s">
        <v>51</v>
      </c>
      <c r="C35" s="2">
        <v>1030</v>
      </c>
      <c r="D35" s="2">
        <v>2016</v>
      </c>
      <c r="E35" s="2">
        <f>D35-C35</f>
        <v>986</v>
      </c>
      <c r="F35" s="5">
        <v>1445.69264604914</v>
      </c>
      <c r="G35">
        <v>324.29070000000002</v>
      </c>
      <c r="H35" s="5">
        <f>F35-G35</f>
        <v>1121.40194604914</v>
      </c>
      <c r="I35" s="5">
        <f>H35/E35</f>
        <v>1.1373244888936511</v>
      </c>
    </row>
    <row r="36" spans="1:9" x14ac:dyDescent="0.2">
      <c r="A36" s="2" t="s">
        <v>36</v>
      </c>
      <c r="B36" s="2" t="s">
        <v>51</v>
      </c>
      <c r="C36" s="2">
        <v>1250</v>
      </c>
      <c r="D36" s="2">
        <v>2016</v>
      </c>
      <c r="E36" s="2">
        <f>D36-C36</f>
        <v>766</v>
      </c>
      <c r="F36" s="5">
        <v>366.46683036560353</v>
      </c>
      <c r="G36">
        <v>27.194400000000002</v>
      </c>
      <c r="H36" s="5">
        <f>F36-G36</f>
        <v>339.27243036560355</v>
      </c>
      <c r="I36" s="5">
        <f>H36/E36</f>
        <v>0.44291439995509602</v>
      </c>
    </row>
    <row r="37" spans="1:9" x14ac:dyDescent="0.2">
      <c r="A37" s="2" t="s">
        <v>37</v>
      </c>
      <c r="B37" s="2" t="s">
        <v>51</v>
      </c>
      <c r="C37" s="2">
        <v>1200</v>
      </c>
      <c r="D37" s="2">
        <v>2016</v>
      </c>
      <c r="E37" s="2">
        <f>D37-C37</f>
        <v>816</v>
      </c>
      <c r="F37" s="5">
        <v>1893.1900084541751</v>
      </c>
      <c r="G37">
        <v>464.16329999999999</v>
      </c>
      <c r="H37" s="5">
        <f>F37-G37</f>
        <v>1429.0267084541752</v>
      </c>
      <c r="I37" s="5">
        <f>H37/E37</f>
        <v>1.7512582211448224</v>
      </c>
    </row>
    <row r="38" spans="1:9" x14ac:dyDescent="0.2">
      <c r="A38" s="2" t="s">
        <v>38</v>
      </c>
      <c r="B38" s="2" t="s">
        <v>51</v>
      </c>
      <c r="C38" s="2">
        <v>694</v>
      </c>
      <c r="D38" s="2">
        <v>2016</v>
      </c>
      <c r="E38" s="2">
        <f>D38-C38</f>
        <v>1322</v>
      </c>
      <c r="F38" s="5">
        <v>679.16699969917488</v>
      </c>
      <c r="G38">
        <v>148.82579999999999</v>
      </c>
      <c r="H38" s="5">
        <f>F38-G38</f>
        <v>530.34119969917492</v>
      </c>
      <c r="I38" s="5">
        <f>H38/E38</f>
        <v>0.4011658091521747</v>
      </c>
    </row>
    <row r="39" spans="1:9" x14ac:dyDescent="0.2">
      <c r="A39" s="2" t="s">
        <v>39</v>
      </c>
      <c r="B39" s="2" t="s">
        <v>51</v>
      </c>
      <c r="C39" s="2">
        <v>1030</v>
      </c>
      <c r="D39" s="2">
        <v>2016</v>
      </c>
      <c r="E39" s="2">
        <f>D39-C39</f>
        <v>986</v>
      </c>
      <c r="F39" s="5">
        <v>187.46205369687479</v>
      </c>
      <c r="G39">
        <v>0</v>
      </c>
      <c r="H39" s="5">
        <f>F39-G39</f>
        <v>187.46205369687479</v>
      </c>
      <c r="I39" s="5">
        <f>H39/E39</f>
        <v>0.19012378671082636</v>
      </c>
    </row>
    <row r="40" spans="1:9" x14ac:dyDescent="0.2">
      <c r="A40" s="2" t="s">
        <v>40</v>
      </c>
      <c r="B40" s="2" t="s">
        <v>51</v>
      </c>
      <c r="C40" s="2">
        <v>1522</v>
      </c>
      <c r="D40" s="2">
        <v>2016</v>
      </c>
      <c r="E40" s="2">
        <f>D40-C40</f>
        <v>494</v>
      </c>
      <c r="F40" s="5">
        <v>1559.821408411535</v>
      </c>
      <c r="G40">
        <v>200.01419999999999</v>
      </c>
      <c r="H40" s="5">
        <f>F40-G40</f>
        <v>1359.8072084115349</v>
      </c>
      <c r="I40" s="5">
        <f>H40/E40</f>
        <v>2.7526461708735526</v>
      </c>
    </row>
    <row r="41" spans="1:9" x14ac:dyDescent="0.2">
      <c r="A41" s="2" t="s">
        <v>41</v>
      </c>
      <c r="B41" s="2" t="s">
        <v>41</v>
      </c>
      <c r="C41" s="2">
        <v>1419</v>
      </c>
      <c r="D41" s="2">
        <v>2018</v>
      </c>
      <c r="E41" s="2">
        <f>D41-C41</f>
        <v>599</v>
      </c>
      <c r="F41" s="5">
        <v>740.83380404834463</v>
      </c>
      <c r="G41" s="5">
        <f>F41*0.42</f>
        <v>311.15019770030472</v>
      </c>
      <c r="H41" s="5">
        <f>F41-G41</f>
        <v>429.68360634803992</v>
      </c>
      <c r="I41" s="5">
        <f>H41/E41</f>
        <v>0.71733490208353912</v>
      </c>
    </row>
    <row r="42" spans="1:9" x14ac:dyDescent="0.2">
      <c r="A42" s="2" t="s">
        <v>42</v>
      </c>
      <c r="B42" s="2" t="s">
        <v>41</v>
      </c>
      <c r="C42" s="2">
        <v>1420</v>
      </c>
      <c r="D42" s="2">
        <v>2018</v>
      </c>
      <c r="E42" s="2">
        <f>D42-C42</f>
        <v>598</v>
      </c>
      <c r="F42" s="5">
        <v>42.232854124838077</v>
      </c>
      <c r="G42" s="5">
        <f>F42*0</f>
        <v>0</v>
      </c>
      <c r="H42" s="5">
        <f>F42-G42</f>
        <v>42.232854124838077</v>
      </c>
      <c r="I42" s="5">
        <f>H42/E42</f>
        <v>7.0623501881000125E-2</v>
      </c>
    </row>
    <row r="43" spans="1:9" x14ac:dyDescent="0.2">
      <c r="A43" s="2" t="s">
        <v>43</v>
      </c>
      <c r="B43" s="2" t="s">
        <v>52</v>
      </c>
      <c r="C43" s="2">
        <v>1662</v>
      </c>
      <c r="D43" s="2">
        <v>2003</v>
      </c>
      <c r="E43" s="2">
        <f>D43-C43</f>
        <v>341</v>
      </c>
      <c r="F43" s="5">
        <v>2520.2303367074128</v>
      </c>
      <c r="G43">
        <v>1049.4000000000001</v>
      </c>
      <c r="H43" s="5">
        <f>F43-G43</f>
        <v>1470.8303367074127</v>
      </c>
      <c r="I43" s="5">
        <f>H43/E43</f>
        <v>4.3132854448897735</v>
      </c>
    </row>
    <row r="44" spans="1:9" s="2" customFormat="1" x14ac:dyDescent="0.2">
      <c r="A44" s="2" t="s">
        <v>44</v>
      </c>
      <c r="B44" s="2" t="s">
        <v>52</v>
      </c>
      <c r="C44" s="2">
        <v>1598</v>
      </c>
      <c r="D44" s="2">
        <v>1997</v>
      </c>
      <c r="E44" s="2">
        <f>D44-C44</f>
        <v>399</v>
      </c>
      <c r="F44" s="5">
        <v>1872.9543217546579</v>
      </c>
      <c r="G44">
        <v>5.4</v>
      </c>
      <c r="H44" s="5">
        <f>F44-G44</f>
        <v>1867.5543217546578</v>
      </c>
      <c r="I44" s="5">
        <f>H44/E44</f>
        <v>4.6805872725680651</v>
      </c>
    </row>
  </sheetData>
  <sortState xmlns:xlrd2="http://schemas.microsoft.com/office/spreadsheetml/2017/richdata2" ref="A2:G45">
    <sortCondition ref="B1:B4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Malisani  Giulia</dc:creator>
  <cp:lastModifiedBy>Malisani  Giulia</cp:lastModifiedBy>
  <dcterms:created xsi:type="dcterms:W3CDTF">2026-04-08T04:44:20Z</dcterms:created>
  <dcterms:modified xsi:type="dcterms:W3CDTF">2026-06-19T18:15:03Z</dcterms:modified>
</cp:coreProperties>
</file>